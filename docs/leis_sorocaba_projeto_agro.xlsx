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Requisitos Documentais" sheetId="2" state="visible" r:id="rId4"/>
    <sheet name="Leis Municipais" sheetId="3" state="visible" r:id="rId5"/>
    <sheet name="Estaduais SP" sheetId="4" state="visible" r:id="rId6"/>
    <sheet name="Federais" sheetId="5" state="visible" r:id="rId7"/>
  </sheets>
  <definedNames>
    <definedName function="false" hidden="true" localSheetId="3" name="_xlnm._FilterDatabase" vbProcedure="false">'Estaduais SP'!$A$3:$I$8</definedName>
    <definedName function="false" hidden="true" localSheetId="4" name="_xlnm._FilterDatabase" vbProcedure="false">Federais!$A$3:$I$12</definedName>
    <definedName function="false" hidden="true" localSheetId="2" name="_xlnm._FilterDatabase" vbProcedure="false">'Leis Municipais'!$A$3:$I$13</definedName>
    <definedName function="false" hidden="true" localSheetId="1" name="_xlnm._FilterDatabase" vbProcedure="false">'Requisitos Documentais'!$A$3:$H$16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<sst xmlns="http://schemas.openxmlformats.org/spreadsheetml/2006/main" count="336" uniqueCount="227">
  <si>
    <t xml:space="preserve">CampoEmDia – base legal (UPx, produtores rurais de Sorocaba)</t>
  </si>
  <si>
    <t xml:space="preserve">Aba</t>
  </si>
  <si>
    <t xml:space="preserve">Normas listadas</t>
  </si>
  <si>
    <t xml:space="preserve">Já confirmadas</t>
  </si>
  <si>
    <t xml:space="preserve">Leis Municipais</t>
  </si>
  <si>
    <t xml:space="preserve">Estaduais SP</t>
  </si>
  <si>
    <t xml:space="preserve">Federais</t>
  </si>
  <si>
    <t xml:space="preserve">Total</t>
  </si>
  <si>
    <t xml:space="preserve">Legenda</t>
  </si>
  <si>
    <t xml:space="preserve">Verde = o número/assunto foi achado em fonte oficial ou jurídica. Amarelo = confirmar texto, data e vigência antes de citar no trabalho.</t>
  </si>
  <si>
    <t xml:space="preserve">Obs.: não é parecer jurídico. O Plano Diretor (Lei 13.123/2025) tem ações judiciais em andamento; confira o texto vigente.</t>
  </si>
  <si>
    <t xml:space="preserve">Fontes: Câmara Municipal e Prefeitura de Sorocaba, Planalto, ALESP, SP Águas, JusBrasil (pesquisa em out/2026).</t>
  </si>
  <si>
    <t xml:space="preserve">Aba 'Requisitos Documentais': lista de documentos do Relatório, pronta pra virar tabela no banco de dados.</t>
  </si>
  <si>
    <t xml:space="preserve">CampoEmDia – requisitos documentais citados no Relatório (base pro banco de dados)</t>
  </si>
  <si>
    <t xml:space="preserve">Nº</t>
  </si>
  <si>
    <t xml:space="preserve">Documento / requisito</t>
  </si>
  <si>
    <t xml:space="preserve">Esfera</t>
  </si>
  <si>
    <t xml:space="preserve">Órgão / sistema</t>
  </si>
  <si>
    <t xml:space="preserve">Base legal (ver abas de leis)</t>
  </si>
  <si>
    <t xml:space="preserve">Aplica-se a</t>
  </si>
  <si>
    <t xml:space="preserve">Origem da informação</t>
  </si>
  <si>
    <t xml:space="preserve">Observação</t>
  </si>
  <si>
    <t xml:space="preserve">CAR – Cadastro Ambiental Rural</t>
  </si>
  <si>
    <t xml:space="preserve">Federal</t>
  </si>
  <si>
    <t xml:space="preserve">SICAR / Serviço Florestal Brasileiro</t>
  </si>
  <si>
    <t xml:space="preserve">Lei 12.651/2012 (Código Florestal)</t>
  </si>
  <si>
    <t xml:space="preserve">Todo imóvel rural</t>
  </si>
  <si>
    <t xml:space="preserve">Relatório (Word) (4.1)</t>
  </si>
  <si>
    <t xml:space="preserve">Base da regularização ambiental.</t>
  </si>
  <si>
    <t xml:space="preserve">CCIR – Certificado de Cadastro de Imóvel Rural / SNCR</t>
  </si>
  <si>
    <t xml:space="preserve">INCRA</t>
  </si>
  <si>
    <t xml:space="preserve">Lei 5.868/1972</t>
  </si>
  <si>
    <t xml:space="preserve">Confirmar regras atuais de emissão.</t>
  </si>
  <si>
    <t xml:space="preserve">SIGEF – Sistema de Gestão Fundiária</t>
  </si>
  <si>
    <t xml:space="preserve">Lei 10.267/2001 (georreferenciamento)</t>
  </si>
  <si>
    <t xml:space="preserve">Imóveis com georreferenciamento</t>
  </si>
  <si>
    <t xml:space="preserve">Confirmar quando é obrigatório.</t>
  </si>
  <si>
    <t xml:space="preserve">Meu Imóvel Rural (consulta unificada CAR/SNCR/SIGEF)</t>
  </si>
  <si>
    <t xml:space="preserve">Ministério da Gestão e da Inovação</t>
  </si>
  <si>
    <t xml:space="preserve">— (plataforma de consulta)</t>
  </si>
  <si>
    <t xml:space="preserve">Consulta de dados do imóvel</t>
  </si>
  <si>
    <t xml:space="preserve">Não é documento exigido: o app deve complementar, não substituir.</t>
  </si>
  <si>
    <t xml:space="preserve">Matrícula atualizada do imóvel</t>
  </si>
  <si>
    <t xml:space="preserve">Estadual</t>
  </si>
  <si>
    <t xml:space="preserve">CETESB (atividades agrícolas)</t>
  </si>
  <si>
    <t xml:space="preserve">Lei 15.684/2015 (PRA) e normas CETESB</t>
  </si>
  <si>
    <t xml:space="preserve">A confirmar por atividade</t>
  </si>
  <si>
    <t xml:space="preserve">O Word diz 'podem estar'; validar na página da CETESB.</t>
  </si>
  <si>
    <t xml:space="preserve">Plantas e informações das áreas de cultivo</t>
  </si>
  <si>
    <t xml:space="preserve">Normas CETESB</t>
  </si>
  <si>
    <t xml:space="preserve">Idem.</t>
  </si>
  <si>
    <t xml:space="preserve">Reserva Legal</t>
  </si>
  <si>
    <t xml:space="preserve">Estadual / Federal</t>
  </si>
  <si>
    <t xml:space="preserve">CETESB / SICAR</t>
  </si>
  <si>
    <t xml:space="preserve">Lei 12.651/2012; Lei 15.684/2015</t>
  </si>
  <si>
    <t xml:space="preserve">Imóveis rurais</t>
  </si>
  <si>
    <t xml:space="preserve">Informação exigida nos procedimentos.</t>
  </si>
  <si>
    <t xml:space="preserve">APP – Áreas de Preservação Permanente</t>
  </si>
  <si>
    <t xml:space="preserve">Lei 12.651/2012; Lei 10.060/2012 (município)</t>
  </si>
  <si>
    <t xml:space="preserve">Documentação para supressão arbórea</t>
  </si>
  <si>
    <t xml:space="preserve">Municipal</t>
  </si>
  <si>
    <t xml:space="preserve">SEMA Sorocaba</t>
  </si>
  <si>
    <t xml:space="preserve">Lei 4.812/1995; Lei 10.060/2012</t>
  </si>
  <si>
    <t xml:space="preserve">Quando houver corte/supressão de árvores</t>
  </si>
  <si>
    <t xml:space="preserve">Relatório (Word) (referências)</t>
  </si>
  <si>
    <t xml:space="preserve">Página da SEMA citada nas referências do Word.</t>
  </si>
  <si>
    <t xml:space="preserve">Informações do imóvel, localização e atividade (procedimentos municipais)</t>
  </si>
  <si>
    <t xml:space="preserve">Prefeitura de Sorocaba</t>
  </si>
  <si>
    <t xml:space="preserve">Lei 13.123/2025 (zoneamento); Lei 11.479/2016 (cadastro rural)</t>
  </si>
  <si>
    <t xml:space="preserve">Atividades agrícolas e pecuárias</t>
  </si>
  <si>
    <t xml:space="preserve">Detalhar com a SEMA e a Sec. de Agricultura.</t>
  </si>
  <si>
    <t xml:space="preserve">Cadastro de nascentes</t>
  </si>
  <si>
    <t xml:space="preserve">SAAE / SEMA</t>
  </si>
  <si>
    <t xml:space="preserve">Lei 7.974/2006</t>
  </si>
  <si>
    <t xml:space="preserve">Imóveis com nascentes</t>
  </si>
  <si>
    <t xml:space="preserve">Sugestão – não está no Word</t>
  </si>
  <si>
    <t xml:space="preserve">Confirmar vigência.</t>
  </si>
  <si>
    <t xml:space="preserve">Outorga de uso da água</t>
  </si>
  <si>
    <t xml:space="preserve">DAEE</t>
  </si>
  <si>
    <t xml:space="preserve">Lei 7.663/1991</t>
  </si>
  <si>
    <t xml:space="preserve">Quem capta água</t>
  </si>
  <si>
    <t xml:space="preserve">Confirmar quando se aplica.</t>
  </si>
  <si>
    <t xml:space="preserve">ITR – Declaração do Imposto Territorial Rural</t>
  </si>
  <si>
    <t xml:space="preserve">Receita Federal</t>
  </si>
  <si>
    <t xml:space="preserve">Lei 9.393/1996</t>
  </si>
  <si>
    <t xml:space="preserve">Cobrado por bancos em crédito rural; confirmar.</t>
  </si>
  <si>
    <t xml:space="preserve">Linhas amarelas vêm da pesquisa de leis, não do Word. As demais vêm do Relatório (seções 4.1 e Referências). Não é parecer jurídico.</t>
  </si>
  <si>
    <t xml:space="preserve">Legislação municipal de Sorocaba – regularização rural e plantio</t>
  </si>
  <si>
    <t xml:space="preserve">Norma</t>
  </si>
  <si>
    <t xml:space="preserve">Data</t>
  </si>
  <si>
    <t xml:space="preserve">Assunto</t>
  </si>
  <si>
    <t xml:space="preserve">Por que importa pro projeto</t>
  </si>
  <si>
    <t xml:space="preserve">Categoria</t>
  </si>
  <si>
    <t xml:space="preserve">Órgão / Responsável</t>
  </si>
  <si>
    <t xml:space="preserve">Verificação</t>
  </si>
  <si>
    <t xml:space="preserve">Lei nº 13.123</t>
  </si>
  <si>
    <t xml:space="preserve">10/01/2025</t>
  </si>
  <si>
    <t xml:space="preserve">Revisão do Plano Diretor de Desenvolvimento Físico Territorial Sustentável (PDDFTSS); define macrozoneamento, zonas urbana/rural e usos.</t>
  </si>
  <si>
    <t xml:space="preserve">Base do zoneamento: define o que pode ser feito na Zona Rural e as regras de parcelamento (módulo mínimo INCRA). Há contestações judiciais em partes da lei, então checar o texto vigente.</t>
  </si>
  <si>
    <t xml:space="preserve">Uso do solo</t>
  </si>
  <si>
    <t xml:space="preserve">Sec. Planejamento e Desenv. Urbano</t>
  </si>
  <si>
    <t xml:space="preserve">Confirmada em fonte oficial/jurídica</t>
  </si>
  <si>
    <t xml:space="preserve">Lei nº 10.060</t>
  </si>
  <si>
    <t xml:space="preserve">03/05/2012</t>
  </si>
  <si>
    <t xml:space="preserve">Política Municipal de Meio Ambiente de Sorocaba; zoneamento ambiental, recuperação de áreas degradadas, fiscalização.</t>
  </si>
  <si>
    <t xml:space="preserve">Lei-mãe ambiental do município: obrigações do proprietário (áreas degradadas) e quem fiscaliza (SEMA).</t>
  </si>
  <si>
    <t xml:space="preserve">Meio ambiente</t>
  </si>
  <si>
    <t xml:space="preserve">SEMA (Meio Ambiente)</t>
  </si>
  <si>
    <t xml:space="preserve">Lei nº 11.479</t>
  </si>
  <si>
    <t xml:space="preserve">27/12/2016</t>
  </si>
  <si>
    <t xml:space="preserve">Diretrizes da Política Municipal Agrícola; prevê cadastro municipal de propriedades rurais com revisão a cada 5 anos e uso consciente de defensivos.</t>
  </si>
  <si>
    <t xml:space="preserve">A mais ligada ao tema: política agrícola local, cadastro de propriedades rurais e orientação ao produtor.</t>
  </si>
  <si>
    <t xml:space="preserve">Política agrícola</t>
  </si>
  <si>
    <t xml:space="preserve">Sec. Meio Ambiente, Agricultura e Abastecimento</t>
  </si>
  <si>
    <t xml:space="preserve">Lei nº 11.814</t>
  </si>
  <si>
    <t xml:space="preserve">15/10/2018</t>
  </si>
  <si>
    <t xml:space="preserve">Cria o Conselho Municipal de Desenvolvimento Rural Sustentável (CMDRS) e o Fundo Municipal de Desenvolvimento Rural Sustentável; revoga a Lei 8.149/2007.</t>
  </si>
  <si>
    <t xml:space="preserve">Instância de participação do produtor rural; possível contato/validação do projeto com o conselho.</t>
  </si>
  <si>
    <t xml:space="preserve">CMDRS / Sec. de Abastecimento</t>
  </si>
  <si>
    <t xml:space="preserve">Lei nº 7.974</t>
  </si>
  <si>
    <t xml:space="preserve">16/10/2006</t>
  </si>
  <si>
    <t xml:space="preserve">Cria o Sistema Municipal de Preservação às Nascentes e Mananciais; cadastro e monitoramento de nascentes.</t>
  </si>
  <si>
    <t xml:space="preserve">Produtor rural com nascentes na propriedade entra nesse cadastro; vira item da checklist documental.</t>
  </si>
  <si>
    <t xml:space="preserve">Recursos hídricos</t>
  </si>
  <si>
    <t xml:space="preserve">Confirmar texto/vigência na fonte oficial</t>
  </si>
  <si>
    <t xml:space="preserve">Lei nº 10.151</t>
  </si>
  <si>
    <t xml:space="preserve">2012 (confirmar data)</t>
  </si>
  <si>
    <t xml:space="preserve">Proíbe queimadas no município de Sorocaba.</t>
  </si>
  <si>
    <t xml:space="preserve">Restrição prática pro manejo (queima de palha/resíduos). Alerta importante junto com a janela de plantio.</t>
  </si>
  <si>
    <t xml:space="preserve">SEMA / Fiscalização</t>
  </si>
  <si>
    <t xml:space="preserve">Lei nº 4.812</t>
  </si>
  <si>
    <t xml:space="preserve">12/05/1995</t>
  </si>
  <si>
    <t xml:space="preserve">Disciplina a proteção, o corte e a poda de vegetação de porte arbóreo (alterada pela Lei 4.944/1995; Decreto 17.860/2009).</t>
  </si>
  <si>
    <t xml:space="preserve">Supressão/poda de árvores na propriedade exige autorização; item de regularização.</t>
  </si>
  <si>
    <t xml:space="preserve">SEMA</t>
  </si>
  <si>
    <t xml:space="preserve">Lei nº 5.027</t>
  </si>
  <si>
    <t xml:space="preserve">08/12/1995</t>
  </si>
  <si>
    <t xml:space="preserve">Criação de Áreas Municipais de Proteção Ambiental (APAs).</t>
  </si>
  <si>
    <t xml:space="preserve">Propriedade dentro de APA tem restrições de uso; checar localização.</t>
  </si>
  <si>
    <t xml:space="preserve">Lei nº 8.150 / Decreto nº 15.867</t>
  </si>
  <si>
    <t xml:space="preserve">02/05/2007 / 08/10/2007</t>
  </si>
  <si>
    <t xml:space="preserve">Cria o COMDEMA (Conselho Municipal de Desenvolvimento do Meio Ambiente) e regulamenta.</t>
  </si>
  <si>
    <t xml:space="preserve">Conselho que delibera sobre política ambiental local; contexto institucional.</t>
  </si>
  <si>
    <t xml:space="preserve">COMDEMA</t>
  </si>
  <si>
    <t xml:space="preserve">Lei nº 6.342 (alt. Lei nº 10.677/2013)</t>
  </si>
  <si>
    <t xml:space="preserve">2000 / 2013</t>
  </si>
  <si>
    <t xml:space="preserve">Proíbe uso de veneno 'mata-mato' em terrenos baldios no perímetro urbano.</t>
  </si>
  <si>
    <t xml:space="preserve">Reforça restrição a herbicida em área urbana; útil pro alerta de uso de defensivos.</t>
  </si>
  <si>
    <t xml:space="preserve">Defensivos</t>
  </si>
  <si>
    <t xml:space="preserve">Legislação estadual (SP) relacionada</t>
  </si>
  <si>
    <t xml:space="preserve">Estadual (SP)</t>
  </si>
  <si>
    <t xml:space="preserve">Lei nº 15.684</t>
  </si>
  <si>
    <t xml:space="preserve">14/01/2015</t>
  </si>
  <si>
    <t xml:space="preserve">Programa de Regularização Ambiental (PRA) no Estado de SP.</t>
  </si>
  <si>
    <t xml:space="preserve">Caminho de regularização do passivo ambiental (APP/Reserva Legal) após o CAR.</t>
  </si>
  <si>
    <t xml:space="preserve">Regularização ambiental</t>
  </si>
  <si>
    <t xml:space="preserve">SIMA / CETESB</t>
  </si>
  <si>
    <t xml:space="preserve">Lei nº 17.054</t>
  </si>
  <si>
    <t xml:space="preserve">06/05/2019</t>
  </si>
  <si>
    <t xml:space="preserve">Registro de empresas, cadastro de produtos e fiscalização de agrotóxicos em área agrícola.</t>
  </si>
  <si>
    <t xml:space="preserve">Regras de uso, armazenamento, transporte e destino de embalagens de agrotóxicos em SP.</t>
  </si>
  <si>
    <t xml:space="preserve">CDA (Defesa Agropecuária)</t>
  </si>
  <si>
    <t xml:space="preserve">Lei nº 7.663</t>
  </si>
  <si>
    <t xml:space="preserve">30/12/1991</t>
  </si>
  <si>
    <t xml:space="preserve">Política Estadual de Recursos Hídricos (outorga, cobrança).</t>
  </si>
  <si>
    <t xml:space="preserve">Captação de água na propriedade pode exigir outorga do DAEE.</t>
  </si>
  <si>
    <t xml:space="preserve">DAEE / SP Águas</t>
  </si>
  <si>
    <t xml:space="preserve">Lei nº 9.866</t>
  </si>
  <si>
    <t xml:space="preserve">28/11/1997</t>
  </si>
  <si>
    <t xml:space="preserve">Proteção e recuperação de bacias de mananciais de interesse regional.</t>
  </si>
  <si>
    <t xml:space="preserve">Restrições de uso do solo em áreas de manancial.</t>
  </si>
  <si>
    <t xml:space="preserve">Órgãos de bacia / SIMA</t>
  </si>
  <si>
    <t xml:space="preserve">Lei nº 6.171</t>
  </si>
  <si>
    <t xml:space="preserve">04/07/1988</t>
  </si>
  <si>
    <t xml:space="preserve">Uso, conservação e preservação do solo agrícola.</t>
  </si>
  <si>
    <t xml:space="preserve">Obrigações de conservação do solo (erosão, terraceamento).</t>
  </si>
  <si>
    <t xml:space="preserve">Solo</t>
  </si>
  <si>
    <t xml:space="preserve">CDA / CATI</t>
  </si>
  <si>
    <t xml:space="preserve">Legislação federal relacionada</t>
  </si>
  <si>
    <t xml:space="preserve">Lei nº 12.651 (Código Florestal)</t>
  </si>
  <si>
    <t xml:space="preserve">25/05/2012</t>
  </si>
  <si>
    <t xml:space="preserve">Proteção da vegetação nativa; APP, Reserva Legal, CAR.</t>
  </si>
  <si>
    <t xml:space="preserve">Núcleo da regularização: CAR, APP e Reserva Legal são os documentos centrais do app.</t>
  </si>
  <si>
    <t xml:space="preserve">SICAR / órgãos ambientais</t>
  </si>
  <si>
    <t xml:space="preserve">Lei nº 9.393</t>
  </si>
  <si>
    <t xml:space="preserve">19/12/1996</t>
  </si>
  <si>
    <t xml:space="preserve">Imposto sobre a Propriedade Territorial Rural (ITR).</t>
  </si>
  <si>
    <t xml:space="preserve">Declaração anual do ITR entra na checklist de documentos.</t>
  </si>
  <si>
    <t xml:space="preserve">Tributário</t>
  </si>
  <si>
    <t xml:space="preserve">Lei nº 5.868 / Lei nº 10.267</t>
  </si>
  <si>
    <t xml:space="preserve">1972 / 2001</t>
  </si>
  <si>
    <t xml:space="preserve">Sistema Nacional de Cadastro Rural (CCIR) e georreferenciamento de imóveis rurais (CNIR).</t>
  </si>
  <si>
    <t xml:space="preserve">CCIR e georreferenciamento aparecem nas exigências de bancos para crédito rural.</t>
  </si>
  <si>
    <t xml:space="preserve">Cadastro rural</t>
  </si>
  <si>
    <t xml:space="preserve">Lei nº 7.802</t>
  </si>
  <si>
    <t xml:space="preserve">11/07/1989</t>
  </si>
  <si>
    <t xml:space="preserve">Agrotóxicos: registro, uso, armazenamento, embalagens; município legisla supletivamente.</t>
  </si>
  <si>
    <t xml:space="preserve">Base federal das regras de defensivos; receita agronômica.</t>
  </si>
  <si>
    <t xml:space="preserve">MAPA / ANVISA / IBAMA</t>
  </si>
  <si>
    <t xml:space="preserve">Lei nº 9.433</t>
  </si>
  <si>
    <t xml:space="preserve">08/01/1997</t>
  </si>
  <si>
    <t xml:space="preserve">Política Nacional de Recursos Hídricos.</t>
  </si>
  <si>
    <t xml:space="preserve">Contexto de outorga e uso da água.</t>
  </si>
  <si>
    <t xml:space="preserve">ANA / DAEE</t>
  </si>
  <si>
    <t xml:space="preserve">Lei Complementar nº 140</t>
  </si>
  <si>
    <t xml:space="preserve">08/12/2011</t>
  </si>
  <si>
    <t xml:space="preserve">Competências de União, Estados e Municípios em matéria ambiental.</t>
  </si>
  <si>
    <t xml:space="preserve">Explica por que o app mostra requisitos nos três níveis.</t>
  </si>
  <si>
    <t xml:space="preserve">Competências</t>
  </si>
  <si>
    <t xml:space="preserve">—</t>
  </si>
  <si>
    <t xml:space="preserve">Lei nº 9.605</t>
  </si>
  <si>
    <t xml:space="preserve">12/02/1998</t>
  </si>
  <si>
    <t xml:space="preserve">Crimes e infrações ambientais.</t>
  </si>
  <si>
    <t xml:space="preserve">Fundamenta as sanções do não cumprimento.</t>
  </si>
  <si>
    <t xml:space="preserve">IBAMA / MP</t>
  </si>
  <si>
    <t xml:space="preserve">Lei nº 13.465</t>
  </si>
  <si>
    <t xml:space="preserve">11/07/2017</t>
  </si>
  <si>
    <t xml:space="preserve">Regularização fundiária urbana e rural (REURB).</t>
  </si>
  <si>
    <t xml:space="preserve">Relevante para produtor com posse irregular da terra.</t>
  </si>
  <si>
    <t xml:space="preserve">Regularização fundiária</t>
  </si>
  <si>
    <t xml:space="preserve">Município / INCRA</t>
  </si>
  <si>
    <t xml:space="preserve">Lei nº 13.709 (LGPD)</t>
  </si>
  <si>
    <t xml:space="preserve">14/08/2018</t>
  </si>
  <si>
    <t xml:space="preserve">Proteção de dados pessoais.</t>
  </si>
  <si>
    <t xml:space="preserve">O app vai guardar dados de produtores: precisa de consentimento e cuidado com dados.</t>
  </si>
  <si>
    <t xml:space="preserve">Sistema (software)</t>
  </si>
  <si>
    <t xml:space="preserve">ANPD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</si>
</sst>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</row>
    <row r="4" customFormat="false" ht="15" hidden="false" customHeight="true" outlineLevel="0" collapsed="false">
      <c r="A4" s="4" t="s">
        <v>4</v>
      </c>
      <c r="B4" s="4" t="n">
        <f aca="false">COUNTA('Leis Municipais'!C4:C100)</f>
        <v>10</v>
      </c>
      <c r="C4" s="4" t="n">
        <f aca="false">COUNTIF('Leis Municipais'!I4:I100,"Confirmada*")</f>
        <v>4</v>
      </c>
    </row>
    <row r="5" customFormat="false" ht="15" hidden="false" customHeight="true" outlineLevel="0" collapsed="false">
      <c r="A5" s="4" t="s">
        <v>5</v>
      </c>
      <c r="B5" s="4" t="n">
        <f aca="false">COUNTA('Estaduais SP'!C4:C100)</f>
        <v>5</v>
      </c>
      <c r="C5" s="4" t="n">
        <f aca="false">COUNTIF('Estaduais SP'!I4:I100,"Confirmada*")</f>
        <v>3</v>
      </c>
    </row>
    <row r="6" customFormat="false" ht="15" hidden="false" customHeight="true" outlineLevel="0" collapsed="false">
      <c r="A6" s="4" t="s">
        <v>6</v>
      </c>
      <c r="B6" s="4" t="n">
        <f aca="false">COUNTA(Federais!C4:C100)</f>
        <v>9</v>
      </c>
      <c r="C6" s="4" t="n">
        <f aca="false">COUNTIF(Federais!I4:I100,"Confirmada*")</f>
        <v>1</v>
      </c>
    </row>
    <row r="7" customFormat="false" ht="15" hidden="false" customHeight="true" outlineLevel="0" collapsed="false">
      <c r="A7" s="5" t="s">
        <v>7</v>
      </c>
      <c r="B7" s="5" t="n">
        <f aca="false">SUM(B4:B6)</f>
        <v>24</v>
      </c>
      <c r="C7" s="5" t="n">
        <f aca="false">SUM(C4:C6)</f>
        <v>8</v>
      </c>
    </row>
    <row r="9" customFormat="false" ht="15" hidden="false" customHeight="true" outlineLevel="0" collapsed="false">
      <c r="A9" s="6" t="s">
        <v>8</v>
      </c>
    </row>
    <row r="10" customFormat="false" ht="15" hidden="false" customHeight="true" outlineLevel="0" collapsed="false">
      <c r="A10" s="7" t="s">
        <v>9</v>
      </c>
    </row>
    <row r="11" customFormat="false" ht="15" hidden="false" customHeight="true" outlineLevel="0" collapsed="false">
      <c r="A11" s="7" t="s">
        <v>10</v>
      </c>
    </row>
    <row r="12" customFormat="false" ht="15" hidden="false" customHeight="true" outlineLevel="0" collapsed="false">
      <c r="A12" s="7" t="s">
        <v>11</v>
      </c>
    </row>
    <row r="13" customFormat="false" ht="15" hidden="false" customHeight="false" outlineLevel="0" collapsed="false">
      <c r="A13" s="8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9" t="s">
        <v>13</v>
      </c>
    </row>
    <row r="3" customFormat="false" ht="15" hidden="false" customHeight="false" outlineLevel="0" collapsed="false">
      <c r="A3" s="10" t="s">
        <v>14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</row>
    <row r="4" customFormat="false" ht="15" hidden="false" customHeight="false" outlineLevel="0" collapsed="false">
      <c r="A4" s="11" t="n">
        <v>1</v>
      </c>
      <c r="B4" s="11" t="s">
        <v>22</v>
      </c>
      <c r="C4" s="11" t="s">
        <v>23</v>
      </c>
      <c r="D4" s="11" t="s">
        <v>24</v>
      </c>
      <c r="E4" s="11" t="s">
        <v>25</v>
      </c>
      <c r="F4" s="11" t="s">
        <v>26</v>
      </c>
      <c r="G4" s="11" t="s">
        <v>27</v>
      </c>
      <c r="H4" s="11" t="s">
        <v>28</v>
      </c>
    </row>
    <row r="5" customFormat="false" ht="23.85" hidden="false" customHeight="false" outlineLevel="0" collapsed="false">
      <c r="A5" s="11" t="n">
        <v>2</v>
      </c>
      <c r="B5" s="11" t="s">
        <v>29</v>
      </c>
      <c r="C5" s="11" t="s">
        <v>23</v>
      </c>
      <c r="D5" s="11" t="s">
        <v>30</v>
      </c>
      <c r="E5" s="11" t="s">
        <v>31</v>
      </c>
      <c r="F5" s="11" t="s">
        <v>26</v>
      </c>
      <c r="G5" s="11" t="s">
        <v>27</v>
      </c>
      <c r="H5" s="11" t="s">
        <v>32</v>
      </c>
    </row>
    <row r="6" customFormat="false" ht="15" hidden="false" customHeight="false" outlineLevel="0" collapsed="false">
      <c r="A6" s="11" t="n">
        <v>3</v>
      </c>
      <c r="B6" s="11" t="s">
        <v>33</v>
      </c>
      <c r="C6" s="11" t="s">
        <v>23</v>
      </c>
      <c r="D6" s="11" t="s">
        <v>30</v>
      </c>
      <c r="E6" s="11" t="s">
        <v>34</v>
      </c>
      <c r="F6" s="11" t="s">
        <v>35</v>
      </c>
      <c r="G6" s="11" t="s">
        <v>27</v>
      </c>
      <c r="H6" s="11" t="s">
        <v>36</v>
      </c>
    </row>
    <row r="7" customFormat="false" ht="23.85" hidden="false" customHeight="false" outlineLevel="0" collapsed="false">
      <c r="A7" s="11" t="n">
        <v>4</v>
      </c>
      <c r="B7" s="11" t="s">
        <v>37</v>
      </c>
      <c r="C7" s="11" t="s">
        <v>23</v>
      </c>
      <c r="D7" s="11" t="s">
        <v>38</v>
      </c>
      <c r="E7" s="11" t="s">
        <v>39</v>
      </c>
      <c r="F7" s="11" t="s">
        <v>40</v>
      </c>
      <c r="G7" s="11" t="s">
        <v>27</v>
      </c>
      <c r="H7" s="11" t="s">
        <v>41</v>
      </c>
    </row>
    <row r="8" customFormat="false" ht="23.85" hidden="false" customHeight="false" outlineLevel="0" collapsed="false">
      <c r="A8" s="11" t="n">
        <v>5</v>
      </c>
      <c r="B8" s="11" t="s">
        <v>42</v>
      </c>
      <c r="C8" s="11" t="s">
        <v>43</v>
      </c>
      <c r="D8" s="11" t="s">
        <v>44</v>
      </c>
      <c r="E8" s="11" t="s">
        <v>45</v>
      </c>
      <c r="F8" s="11" t="s">
        <v>46</v>
      </c>
      <c r="G8" s="11" t="s">
        <v>27</v>
      </c>
      <c r="H8" s="11" t="s">
        <v>47</v>
      </c>
    </row>
    <row r="9" customFormat="false" ht="15" hidden="false" customHeight="false" outlineLevel="0" collapsed="false">
      <c r="A9" s="11" t="n">
        <v>6</v>
      </c>
      <c r="B9" s="11" t="s">
        <v>48</v>
      </c>
      <c r="C9" s="11" t="s">
        <v>43</v>
      </c>
      <c r="D9" s="11" t="s">
        <v>44</v>
      </c>
      <c r="E9" s="11" t="s">
        <v>49</v>
      </c>
      <c r="F9" s="11" t="s">
        <v>46</v>
      </c>
      <c r="G9" s="11" t="s">
        <v>27</v>
      </c>
      <c r="H9" s="11" t="s">
        <v>50</v>
      </c>
    </row>
    <row r="10" customFormat="false" ht="23.85" hidden="false" customHeight="false" outlineLevel="0" collapsed="false">
      <c r="A10" s="11" t="n">
        <v>7</v>
      </c>
      <c r="B10" s="11" t="s">
        <v>51</v>
      </c>
      <c r="C10" s="11" t="s">
        <v>52</v>
      </c>
      <c r="D10" s="11" t="s">
        <v>53</v>
      </c>
      <c r="E10" s="11" t="s">
        <v>54</v>
      </c>
      <c r="F10" s="11" t="s">
        <v>55</v>
      </c>
      <c r="G10" s="11" t="s">
        <v>27</v>
      </c>
      <c r="H10" s="11" t="s">
        <v>56</v>
      </c>
    </row>
    <row r="11" customFormat="false" ht="23.85" hidden="false" customHeight="false" outlineLevel="0" collapsed="false">
      <c r="A11" s="11" t="n">
        <v>8</v>
      </c>
      <c r="B11" s="11" t="s">
        <v>57</v>
      </c>
      <c r="C11" s="11" t="s">
        <v>52</v>
      </c>
      <c r="D11" s="11" t="s">
        <v>53</v>
      </c>
      <c r="E11" s="11" t="s">
        <v>58</v>
      </c>
      <c r="F11" s="11" t="s">
        <v>55</v>
      </c>
      <c r="G11" s="11" t="s">
        <v>27</v>
      </c>
      <c r="H11" s="11" t="s">
        <v>50</v>
      </c>
    </row>
    <row r="12" customFormat="false" ht="23.85" hidden="false" customHeight="false" outlineLevel="0" collapsed="false">
      <c r="A12" s="11" t="n">
        <v>9</v>
      </c>
      <c r="B12" s="11" t="s">
        <v>59</v>
      </c>
      <c r="C12" s="11" t="s">
        <v>60</v>
      </c>
      <c r="D12" s="11" t="s">
        <v>61</v>
      </c>
      <c r="E12" s="11" t="s">
        <v>62</v>
      </c>
      <c r="F12" s="11" t="s">
        <v>63</v>
      </c>
      <c r="G12" s="11" t="s">
        <v>64</v>
      </c>
      <c r="H12" s="11" t="s">
        <v>65</v>
      </c>
    </row>
    <row r="13" customFormat="false" ht="23.85" hidden="false" customHeight="false" outlineLevel="0" collapsed="false">
      <c r="A13" s="11" t="n">
        <v>10</v>
      </c>
      <c r="B13" s="11" t="s">
        <v>66</v>
      </c>
      <c r="C13" s="11" t="s">
        <v>60</v>
      </c>
      <c r="D13" s="11" t="s">
        <v>67</v>
      </c>
      <c r="E13" s="11" t="s">
        <v>68</v>
      </c>
      <c r="F13" s="11" t="s">
        <v>69</v>
      </c>
      <c r="G13" s="11" t="s">
        <v>27</v>
      </c>
      <c r="H13" s="11" t="s">
        <v>70</v>
      </c>
    </row>
    <row r="14" customFormat="false" ht="15" hidden="false" customHeight="false" outlineLevel="0" collapsed="false">
      <c r="A14" s="11" t="n">
        <v>11</v>
      </c>
      <c r="B14" s="11" t="s">
        <v>71</v>
      </c>
      <c r="C14" s="11" t="s">
        <v>60</v>
      </c>
      <c r="D14" s="11" t="s">
        <v>72</v>
      </c>
      <c r="E14" s="11" t="s">
        <v>73</v>
      </c>
      <c r="F14" s="11" t="s">
        <v>74</v>
      </c>
      <c r="G14" s="12" t="s">
        <v>75</v>
      </c>
      <c r="H14" s="11" t="s">
        <v>76</v>
      </c>
    </row>
    <row r="15" customFormat="false" ht="15" hidden="false" customHeight="false" outlineLevel="0" collapsed="false">
      <c r="A15" s="11" t="n">
        <v>12</v>
      </c>
      <c r="B15" s="11" t="s">
        <v>77</v>
      </c>
      <c r="C15" s="11" t="s">
        <v>43</v>
      </c>
      <c r="D15" s="11" t="s">
        <v>78</v>
      </c>
      <c r="E15" s="11" t="s">
        <v>79</v>
      </c>
      <c r="F15" s="11" t="s">
        <v>80</v>
      </c>
      <c r="G15" s="12" t="s">
        <v>75</v>
      </c>
      <c r="H15" s="11" t="s">
        <v>81</v>
      </c>
    </row>
    <row r="16" customFormat="false" ht="15" hidden="false" customHeight="false" outlineLevel="0" collapsed="false">
      <c r="A16" s="11" t="n">
        <v>13</v>
      </c>
      <c r="B16" s="11" t="s">
        <v>82</v>
      </c>
      <c r="C16" s="11" t="s">
        <v>23</v>
      </c>
      <c r="D16" s="11" t="s">
        <v>83</v>
      </c>
      <c r="E16" s="11" t="s">
        <v>84</v>
      </c>
      <c r="F16" s="11" t="s">
        <v>26</v>
      </c>
      <c r="G16" s="12" t="s">
        <v>75</v>
      </c>
      <c r="H16" s="11" t="s">
        <v>85</v>
      </c>
    </row>
    <row r="18" customFormat="false" ht="15" hidden="false" customHeight="false" outlineLevel="0" collapsed="false">
      <c r="A18" s="13" t="s">
        <v>86</v>
      </c>
    </row>
  </sheetData>
  <autoFilter ref="A3:H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24"/>
    <col collapsed="false" customWidth="true" hidden="false" outlineLevel="0" max="4" min="4" style="1" width="13"/>
    <col collapsed="false" customWidth="true" hidden="false" outlineLevel="0" max="5" min="5" style="1" width="48"/>
    <col collapsed="false" customWidth="true" hidden="false" outlineLevel="0" max="6" min="6" style="1" width="52"/>
    <col collapsed="false" customWidth="true" hidden="false" outlineLevel="0" max="7" min="7" style="1" width="20"/>
    <col collapsed="false" customWidth="true" hidden="false" outlineLevel="0" max="9" min="8" style="1" width="26"/>
  </cols>
  <sheetData>
    <row r="1" customFormat="false" ht="17.25" hidden="false" customHeight="true" outlineLevel="0" collapsed="false">
      <c r="A1" s="2" t="s">
        <v>87</v>
      </c>
    </row>
    <row r="3" customFormat="false" ht="15" hidden="false" customHeight="true" outlineLevel="0" collapsed="false">
      <c r="A3" s="10" t="s">
        <v>14</v>
      </c>
      <c r="B3" s="10" t="s">
        <v>16</v>
      </c>
      <c r="C3" s="10" t="s">
        <v>88</v>
      </c>
      <c r="D3" s="10" t="s">
        <v>89</v>
      </c>
      <c r="E3" s="10" t="s">
        <v>90</v>
      </c>
      <c r="F3" s="10" t="s">
        <v>91</v>
      </c>
      <c r="G3" s="10" t="s">
        <v>92</v>
      </c>
      <c r="H3" s="10" t="s">
        <v>93</v>
      </c>
      <c r="I3" s="10" t="s">
        <v>94</v>
      </c>
    </row>
    <row r="4" customFormat="false" ht="45.75" hidden="false" customHeight="true" outlineLevel="0" collapsed="false">
      <c r="A4" s="11" t="n">
        <v>1</v>
      </c>
      <c r="B4" s="11" t="s">
        <v>60</v>
      </c>
      <c r="C4" s="11" t="s">
        <v>95</v>
      </c>
      <c r="D4" s="11" t="s">
        <v>96</v>
      </c>
      <c r="E4" s="11" t="s">
        <v>97</v>
      </c>
      <c r="F4" s="11" t="s">
        <v>98</v>
      </c>
      <c r="G4" s="11" t="s">
        <v>99</v>
      </c>
      <c r="H4" s="11" t="s">
        <v>100</v>
      </c>
      <c r="I4" s="14" t="s">
        <v>101</v>
      </c>
    </row>
    <row r="5" customFormat="false" ht="34.5" hidden="false" customHeight="true" outlineLevel="0" collapsed="false">
      <c r="A5" s="11" t="n">
        <v>2</v>
      </c>
      <c r="B5" s="11" t="s">
        <v>60</v>
      </c>
      <c r="C5" s="11" t="s">
        <v>102</v>
      </c>
      <c r="D5" s="11" t="s">
        <v>103</v>
      </c>
      <c r="E5" s="11" t="s">
        <v>104</v>
      </c>
      <c r="F5" s="11" t="s">
        <v>105</v>
      </c>
      <c r="G5" s="11" t="s">
        <v>106</v>
      </c>
      <c r="H5" s="11" t="s">
        <v>107</v>
      </c>
      <c r="I5" s="14" t="s">
        <v>101</v>
      </c>
    </row>
    <row r="6" customFormat="false" ht="34.5" hidden="false" customHeight="true" outlineLevel="0" collapsed="false">
      <c r="A6" s="11" t="n">
        <v>3</v>
      </c>
      <c r="B6" s="11" t="s">
        <v>60</v>
      </c>
      <c r="C6" s="11" t="s">
        <v>108</v>
      </c>
      <c r="D6" s="11" t="s">
        <v>109</v>
      </c>
      <c r="E6" s="11" t="s">
        <v>110</v>
      </c>
      <c r="F6" s="11" t="s">
        <v>111</v>
      </c>
      <c r="G6" s="11" t="s">
        <v>112</v>
      </c>
      <c r="H6" s="11" t="s">
        <v>113</v>
      </c>
      <c r="I6" s="14" t="s">
        <v>101</v>
      </c>
    </row>
    <row r="7" customFormat="false" ht="45.75" hidden="false" customHeight="true" outlineLevel="0" collapsed="false">
      <c r="A7" s="11" t="n">
        <v>4</v>
      </c>
      <c r="B7" s="11" t="s">
        <v>60</v>
      </c>
      <c r="C7" s="11" t="s">
        <v>114</v>
      </c>
      <c r="D7" s="11" t="s">
        <v>115</v>
      </c>
      <c r="E7" s="11" t="s">
        <v>116</v>
      </c>
      <c r="F7" s="11" t="s">
        <v>117</v>
      </c>
      <c r="G7" s="11" t="s">
        <v>112</v>
      </c>
      <c r="H7" s="11" t="s">
        <v>118</v>
      </c>
      <c r="I7" s="14" t="s">
        <v>101</v>
      </c>
    </row>
    <row r="8" customFormat="false" ht="23.25" hidden="false" customHeight="true" outlineLevel="0" collapsed="false">
      <c r="A8" s="11" t="n">
        <v>5</v>
      </c>
      <c r="B8" s="11" t="s">
        <v>60</v>
      </c>
      <c r="C8" s="11" t="s">
        <v>119</v>
      </c>
      <c r="D8" s="11" t="s">
        <v>120</v>
      </c>
      <c r="E8" s="11" t="s">
        <v>121</v>
      </c>
      <c r="F8" s="11" t="s">
        <v>122</v>
      </c>
      <c r="G8" s="11" t="s">
        <v>123</v>
      </c>
      <c r="H8" s="11" t="s">
        <v>72</v>
      </c>
      <c r="I8" s="12" t="s">
        <v>124</v>
      </c>
    </row>
    <row r="9" customFormat="false" ht="34.5" hidden="false" customHeight="true" outlineLevel="0" collapsed="false">
      <c r="A9" s="11" t="n">
        <v>6</v>
      </c>
      <c r="B9" s="11" t="s">
        <v>60</v>
      </c>
      <c r="C9" s="11" t="s">
        <v>125</v>
      </c>
      <c r="D9" s="11" t="s">
        <v>126</v>
      </c>
      <c r="E9" s="11" t="s">
        <v>127</v>
      </c>
      <c r="F9" s="11" t="s">
        <v>128</v>
      </c>
      <c r="G9" s="11" t="s">
        <v>106</v>
      </c>
      <c r="H9" s="11" t="s">
        <v>129</v>
      </c>
      <c r="I9" s="12" t="s">
        <v>124</v>
      </c>
    </row>
    <row r="10" customFormat="false" ht="34.5" hidden="false" customHeight="true" outlineLevel="0" collapsed="false">
      <c r="A10" s="11" t="n">
        <v>7</v>
      </c>
      <c r="B10" s="11" t="s">
        <v>60</v>
      </c>
      <c r="C10" s="11" t="s">
        <v>130</v>
      </c>
      <c r="D10" s="11" t="s">
        <v>131</v>
      </c>
      <c r="E10" s="11" t="s">
        <v>132</v>
      </c>
      <c r="F10" s="11" t="s">
        <v>133</v>
      </c>
      <c r="G10" s="11" t="s">
        <v>106</v>
      </c>
      <c r="H10" s="11" t="s">
        <v>134</v>
      </c>
      <c r="I10" s="12" t="s">
        <v>124</v>
      </c>
    </row>
    <row r="11" customFormat="false" ht="23.25" hidden="false" customHeight="true" outlineLevel="0" collapsed="false">
      <c r="A11" s="11" t="n">
        <v>8</v>
      </c>
      <c r="B11" s="11" t="s">
        <v>60</v>
      </c>
      <c r="C11" s="11" t="s">
        <v>135</v>
      </c>
      <c r="D11" s="11" t="s">
        <v>136</v>
      </c>
      <c r="E11" s="11" t="s">
        <v>137</v>
      </c>
      <c r="F11" s="11" t="s">
        <v>138</v>
      </c>
      <c r="G11" s="11" t="s">
        <v>106</v>
      </c>
      <c r="H11" s="11" t="s">
        <v>134</v>
      </c>
      <c r="I11" s="12" t="s">
        <v>124</v>
      </c>
    </row>
    <row r="12" customFormat="false" ht="23.25" hidden="false" customHeight="true" outlineLevel="0" collapsed="false">
      <c r="A12" s="11" t="n">
        <v>9</v>
      </c>
      <c r="B12" s="11" t="s">
        <v>60</v>
      </c>
      <c r="C12" s="11" t="s">
        <v>139</v>
      </c>
      <c r="D12" s="11" t="s">
        <v>140</v>
      </c>
      <c r="E12" s="11" t="s">
        <v>141</v>
      </c>
      <c r="F12" s="11" t="s">
        <v>142</v>
      </c>
      <c r="G12" s="11" t="s">
        <v>106</v>
      </c>
      <c r="H12" s="11" t="s">
        <v>143</v>
      </c>
      <c r="I12" s="12" t="s">
        <v>124</v>
      </c>
    </row>
    <row r="13" customFormat="false" ht="23.25" hidden="false" customHeight="true" outlineLevel="0" collapsed="false">
      <c r="A13" s="11" t="n">
        <v>10</v>
      </c>
      <c r="B13" s="11" t="s">
        <v>60</v>
      </c>
      <c r="C13" s="11" t="s">
        <v>144</v>
      </c>
      <c r="D13" s="11" t="s">
        <v>145</v>
      </c>
      <c r="E13" s="11" t="s">
        <v>146</v>
      </c>
      <c r="F13" s="11" t="s">
        <v>147</v>
      </c>
      <c r="G13" s="11" t="s">
        <v>148</v>
      </c>
      <c r="H13" s="11" t="s">
        <v>134</v>
      </c>
      <c r="I13" s="12" t="s">
        <v>124</v>
      </c>
    </row>
  </sheetData>
  <autoFilter ref="A3:I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24"/>
    <col collapsed="false" customWidth="true" hidden="false" outlineLevel="0" max="4" min="4" style="1" width="13"/>
    <col collapsed="false" customWidth="true" hidden="false" outlineLevel="0" max="5" min="5" style="1" width="48"/>
    <col collapsed="false" customWidth="true" hidden="false" outlineLevel="0" max="6" min="6" style="1" width="52"/>
    <col collapsed="false" customWidth="true" hidden="false" outlineLevel="0" max="7" min="7" style="1" width="20"/>
    <col collapsed="false" customWidth="true" hidden="false" outlineLevel="0" max="9" min="8" style="1" width="26"/>
  </cols>
  <sheetData>
    <row r="1" customFormat="false" ht="17.25" hidden="false" customHeight="true" outlineLevel="0" collapsed="false">
      <c r="A1" s="2" t="s">
        <v>149</v>
      </c>
    </row>
    <row r="3" customFormat="false" ht="15" hidden="false" customHeight="true" outlineLevel="0" collapsed="false">
      <c r="A3" s="10" t="s">
        <v>14</v>
      </c>
      <c r="B3" s="10" t="s">
        <v>16</v>
      </c>
      <c r="C3" s="10" t="s">
        <v>88</v>
      </c>
      <c r="D3" s="10" t="s">
        <v>89</v>
      </c>
      <c r="E3" s="10" t="s">
        <v>90</v>
      </c>
      <c r="F3" s="10" t="s">
        <v>91</v>
      </c>
      <c r="G3" s="10" t="s">
        <v>92</v>
      </c>
      <c r="H3" s="10" t="s">
        <v>93</v>
      </c>
      <c r="I3" s="10" t="s">
        <v>94</v>
      </c>
    </row>
    <row r="4" customFormat="false" ht="23.25" hidden="false" customHeight="true" outlineLevel="0" collapsed="false">
      <c r="A4" s="11" t="n">
        <v>1</v>
      </c>
      <c r="B4" s="11" t="s">
        <v>150</v>
      </c>
      <c r="C4" s="11" t="s">
        <v>151</v>
      </c>
      <c r="D4" s="11" t="s">
        <v>152</v>
      </c>
      <c r="E4" s="11" t="s">
        <v>153</v>
      </c>
      <c r="F4" s="11" t="s">
        <v>154</v>
      </c>
      <c r="G4" s="11" t="s">
        <v>155</v>
      </c>
      <c r="H4" s="11" t="s">
        <v>156</v>
      </c>
      <c r="I4" s="12" t="s">
        <v>124</v>
      </c>
    </row>
    <row r="5" customFormat="false" ht="23.25" hidden="false" customHeight="true" outlineLevel="0" collapsed="false">
      <c r="A5" s="11" t="n">
        <v>2</v>
      </c>
      <c r="B5" s="11" t="s">
        <v>150</v>
      </c>
      <c r="C5" s="11" t="s">
        <v>157</v>
      </c>
      <c r="D5" s="11" t="s">
        <v>158</v>
      </c>
      <c r="E5" s="11" t="s">
        <v>159</v>
      </c>
      <c r="F5" s="11" t="s">
        <v>160</v>
      </c>
      <c r="G5" s="11" t="s">
        <v>148</v>
      </c>
      <c r="H5" s="11" t="s">
        <v>161</v>
      </c>
      <c r="I5" s="14" t="s">
        <v>101</v>
      </c>
    </row>
    <row r="6" customFormat="false" ht="23.25" hidden="false" customHeight="true" outlineLevel="0" collapsed="false">
      <c r="A6" s="11" t="n">
        <v>3</v>
      </c>
      <c r="B6" s="11" t="s">
        <v>150</v>
      </c>
      <c r="C6" s="11" t="s">
        <v>162</v>
      </c>
      <c r="D6" s="11" t="s">
        <v>163</v>
      </c>
      <c r="E6" s="11" t="s">
        <v>164</v>
      </c>
      <c r="F6" s="11" t="s">
        <v>165</v>
      </c>
      <c r="G6" s="11" t="s">
        <v>123</v>
      </c>
      <c r="H6" s="11" t="s">
        <v>166</v>
      </c>
      <c r="I6" s="14" t="s">
        <v>101</v>
      </c>
    </row>
    <row r="7" customFormat="false" ht="23.25" hidden="false" customHeight="true" outlineLevel="0" collapsed="false">
      <c r="A7" s="11" t="n">
        <v>4</v>
      </c>
      <c r="B7" s="11" t="s">
        <v>150</v>
      </c>
      <c r="C7" s="11" t="s">
        <v>167</v>
      </c>
      <c r="D7" s="11" t="s">
        <v>168</v>
      </c>
      <c r="E7" s="11" t="s">
        <v>169</v>
      </c>
      <c r="F7" s="11" t="s">
        <v>170</v>
      </c>
      <c r="G7" s="11" t="s">
        <v>123</v>
      </c>
      <c r="H7" s="11" t="s">
        <v>171</v>
      </c>
      <c r="I7" s="14" t="s">
        <v>101</v>
      </c>
    </row>
    <row r="8" customFormat="false" ht="23.25" hidden="false" customHeight="true" outlineLevel="0" collapsed="false">
      <c r="A8" s="11" t="n">
        <v>5</v>
      </c>
      <c r="B8" s="11" t="s">
        <v>150</v>
      </c>
      <c r="C8" s="11" t="s">
        <v>172</v>
      </c>
      <c r="D8" s="11" t="s">
        <v>173</v>
      </c>
      <c r="E8" s="11" t="s">
        <v>174</v>
      </c>
      <c r="F8" s="11" t="s">
        <v>175</v>
      </c>
      <c r="G8" s="11" t="s">
        <v>176</v>
      </c>
      <c r="H8" s="11" t="s">
        <v>177</v>
      </c>
      <c r="I8" s="12" t="s">
        <v>124</v>
      </c>
    </row>
  </sheetData>
  <autoFilter ref="A3:I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24"/>
    <col collapsed="false" customWidth="true" hidden="false" outlineLevel="0" max="4" min="4" style="1" width="13"/>
    <col collapsed="false" customWidth="true" hidden="false" outlineLevel="0" max="5" min="5" style="1" width="48"/>
    <col collapsed="false" customWidth="true" hidden="false" outlineLevel="0" max="6" min="6" style="1" width="52"/>
    <col collapsed="false" customWidth="true" hidden="false" outlineLevel="0" max="7" min="7" style="1" width="20"/>
    <col collapsed="false" customWidth="true" hidden="false" outlineLevel="0" max="9" min="8" style="1" width="26"/>
  </cols>
  <sheetData>
    <row r="1" customFormat="false" ht="17.25" hidden="false" customHeight="true" outlineLevel="0" collapsed="false">
      <c r="A1" s="2" t="s">
        <v>178</v>
      </c>
    </row>
    <row r="3" customFormat="false" ht="15" hidden="false" customHeight="true" outlineLevel="0" collapsed="false">
      <c r="A3" s="10" t="s">
        <v>14</v>
      </c>
      <c r="B3" s="10" t="s">
        <v>16</v>
      </c>
      <c r="C3" s="10" t="s">
        <v>88</v>
      </c>
      <c r="D3" s="10" t="s">
        <v>89</v>
      </c>
      <c r="E3" s="10" t="s">
        <v>90</v>
      </c>
      <c r="F3" s="10" t="s">
        <v>91</v>
      </c>
      <c r="G3" s="10" t="s">
        <v>92</v>
      </c>
      <c r="H3" s="10" t="s">
        <v>93</v>
      </c>
      <c r="I3" s="10" t="s">
        <v>94</v>
      </c>
    </row>
    <row r="4" customFormat="false" ht="23.25" hidden="false" customHeight="true" outlineLevel="0" collapsed="false">
      <c r="A4" s="11" t="n">
        <v>1</v>
      </c>
      <c r="B4" s="11" t="s">
        <v>23</v>
      </c>
      <c r="C4" s="11" t="s">
        <v>179</v>
      </c>
      <c r="D4" s="11" t="s">
        <v>180</v>
      </c>
      <c r="E4" s="11" t="s">
        <v>181</v>
      </c>
      <c r="F4" s="11" t="s">
        <v>182</v>
      </c>
      <c r="G4" s="11" t="s">
        <v>155</v>
      </c>
      <c r="H4" s="11" t="s">
        <v>183</v>
      </c>
      <c r="I4" s="12" t="s">
        <v>124</v>
      </c>
    </row>
    <row r="5" customFormat="false" ht="23.25" hidden="false" customHeight="true" outlineLevel="0" collapsed="false">
      <c r="A5" s="11" t="n">
        <v>2</v>
      </c>
      <c r="B5" s="11" t="s">
        <v>23</v>
      </c>
      <c r="C5" s="11" t="s">
        <v>184</v>
      </c>
      <c r="D5" s="11" t="s">
        <v>185</v>
      </c>
      <c r="E5" s="11" t="s">
        <v>186</v>
      </c>
      <c r="F5" s="11" t="s">
        <v>187</v>
      </c>
      <c r="G5" s="11" t="s">
        <v>188</v>
      </c>
      <c r="H5" s="11" t="s">
        <v>83</v>
      </c>
      <c r="I5" s="12" t="s">
        <v>124</v>
      </c>
    </row>
    <row r="6" customFormat="false" ht="23.25" hidden="false" customHeight="true" outlineLevel="0" collapsed="false">
      <c r="A6" s="11" t="n">
        <v>3</v>
      </c>
      <c r="B6" s="11" t="s">
        <v>23</v>
      </c>
      <c r="C6" s="11" t="s">
        <v>189</v>
      </c>
      <c r="D6" s="11" t="s">
        <v>190</v>
      </c>
      <c r="E6" s="11" t="s">
        <v>191</v>
      </c>
      <c r="F6" s="11" t="s">
        <v>192</v>
      </c>
      <c r="G6" s="11" t="s">
        <v>193</v>
      </c>
      <c r="H6" s="11" t="s">
        <v>30</v>
      </c>
      <c r="I6" s="12" t="s">
        <v>124</v>
      </c>
    </row>
    <row r="7" customFormat="false" ht="23.25" hidden="false" customHeight="true" outlineLevel="0" collapsed="false">
      <c r="A7" s="11" t="n">
        <v>4</v>
      </c>
      <c r="B7" s="11" t="s">
        <v>23</v>
      </c>
      <c r="C7" s="11" t="s">
        <v>194</v>
      </c>
      <c r="D7" s="11" t="s">
        <v>195</v>
      </c>
      <c r="E7" s="11" t="s">
        <v>196</v>
      </c>
      <c r="F7" s="11" t="s">
        <v>197</v>
      </c>
      <c r="G7" s="11" t="s">
        <v>148</v>
      </c>
      <c r="H7" s="11" t="s">
        <v>198</v>
      </c>
      <c r="I7" s="14" t="s">
        <v>101</v>
      </c>
    </row>
    <row r="8" customFormat="false" ht="23.25" hidden="false" customHeight="true" outlineLevel="0" collapsed="false">
      <c r="A8" s="11" t="n">
        <v>5</v>
      </c>
      <c r="B8" s="11" t="s">
        <v>23</v>
      </c>
      <c r="C8" s="11" t="s">
        <v>199</v>
      </c>
      <c r="D8" s="11" t="s">
        <v>200</v>
      </c>
      <c r="E8" s="11" t="s">
        <v>201</v>
      </c>
      <c r="F8" s="11" t="s">
        <v>202</v>
      </c>
      <c r="G8" s="11" t="s">
        <v>123</v>
      </c>
      <c r="H8" s="11" t="s">
        <v>203</v>
      </c>
      <c r="I8" s="12" t="s">
        <v>124</v>
      </c>
    </row>
    <row r="9" customFormat="false" ht="23.25" hidden="false" customHeight="true" outlineLevel="0" collapsed="false">
      <c r="A9" s="11" t="n">
        <v>6</v>
      </c>
      <c r="B9" s="11" t="s">
        <v>23</v>
      </c>
      <c r="C9" s="11" t="s">
        <v>204</v>
      </c>
      <c r="D9" s="11" t="s">
        <v>205</v>
      </c>
      <c r="E9" s="11" t="s">
        <v>206</v>
      </c>
      <c r="F9" s="11" t="s">
        <v>207</v>
      </c>
      <c r="G9" s="11" t="s">
        <v>208</v>
      </c>
      <c r="H9" s="11" t="s">
        <v>209</v>
      </c>
      <c r="I9" s="12" t="s">
        <v>124</v>
      </c>
    </row>
    <row r="10" customFormat="false" ht="23.25" hidden="false" customHeight="true" outlineLevel="0" collapsed="false">
      <c r="A10" s="11" t="n">
        <v>7</v>
      </c>
      <c r="B10" s="11" t="s">
        <v>23</v>
      </c>
      <c r="C10" s="11" t="s">
        <v>210</v>
      </c>
      <c r="D10" s="11" t="s">
        <v>211</v>
      </c>
      <c r="E10" s="11" t="s">
        <v>212</v>
      </c>
      <c r="F10" s="11" t="s">
        <v>213</v>
      </c>
      <c r="G10" s="11" t="s">
        <v>106</v>
      </c>
      <c r="H10" s="11" t="s">
        <v>214</v>
      </c>
      <c r="I10" s="12" t="s">
        <v>124</v>
      </c>
    </row>
    <row r="11" customFormat="false" ht="23.25" hidden="false" customHeight="true" outlineLevel="0" collapsed="false">
      <c r="A11" s="11" t="n">
        <v>8</v>
      </c>
      <c r="B11" s="11" t="s">
        <v>23</v>
      </c>
      <c r="C11" s="11" t="s">
        <v>215</v>
      </c>
      <c r="D11" s="11" t="s">
        <v>216</v>
      </c>
      <c r="E11" s="11" t="s">
        <v>217</v>
      </c>
      <c r="F11" s="11" t="s">
        <v>218</v>
      </c>
      <c r="G11" s="11" t="s">
        <v>219</v>
      </c>
      <c r="H11" s="11" t="s">
        <v>220</v>
      </c>
      <c r="I11" s="12" t="s">
        <v>124</v>
      </c>
    </row>
    <row r="12" customFormat="false" ht="23.25" hidden="false" customHeight="true" outlineLevel="0" collapsed="false">
      <c r="A12" s="11" t="n">
        <v>9</v>
      </c>
      <c r="B12" s="11" t="s">
        <v>23</v>
      </c>
      <c r="C12" s="11" t="s">
        <v>221</v>
      </c>
      <c r="D12" s="11" t="s">
        <v>222</v>
      </c>
      <c r="E12" s="11" t="s">
        <v>223</v>
      </c>
      <c r="F12" s="11" t="s">
        <v>224</v>
      </c>
      <c r="G12" s="11" t="s">
        <v>225</v>
      </c>
      <c r="H12" s="11" t="s">
        <v>226</v>
      </c>
      <c r="I12" s="12" t="s">
        <v>124</v>
      </c>
    </row>
  </sheetData>
  <autoFilter ref="A3:I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2026-10-04T15:41:49Z</dcterms:created>
  <dc:creator>openpyxl</dc:creator>
  <dc:description/>
  <dc:language>en-US</dc:language>
  <cp:lastModifiedBy/>
  <dcterms:modified xsi:type="dcterms:W3CDTF">2026-10-04T15:46:44Z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